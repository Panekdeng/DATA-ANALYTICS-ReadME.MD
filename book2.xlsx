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650" activeTab="7"/>
  </bookViews>
  <sheets>
    <sheet name="Sheet1" sheetId="1" r:id="rId1"/>
    <sheet name="ADDTION" sheetId="2" r:id="rId2"/>
    <sheet name="ARITHMETIC" sheetId="3" r:id="rId3"/>
    <sheet name="sum" sheetId="4" r:id="rId4"/>
    <sheet name="Sheet2" sheetId="5" r:id="rId5"/>
    <sheet name="Sheet4" sheetId="7" r:id="rId6"/>
    <sheet name="Sheet3" sheetId="6" r:id="rId7"/>
    <sheet name="PR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8" l="1"/>
  <c r="I13" i="8"/>
  <c r="I12" i="8"/>
  <c r="I11" i="8"/>
  <c r="I10" i="8"/>
  <c r="I5" i="8"/>
  <c r="I6" i="8"/>
  <c r="I7" i="8"/>
  <c r="I8" i="8"/>
  <c r="I4" i="8"/>
  <c r="D28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" i="6"/>
  <c r="I33" i="6"/>
  <c r="I32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A28" i="6"/>
  <c r="C28" i="6"/>
  <c r="E28" i="6"/>
  <c r="F24" i="5" l="1"/>
  <c r="F25" i="5"/>
  <c r="F26" i="5"/>
  <c r="F27" i="5"/>
  <c r="F28" i="5"/>
  <c r="F29" i="5"/>
  <c r="F30" i="5"/>
  <c r="F31" i="5"/>
  <c r="F32" i="5"/>
  <c r="B3" i="7"/>
  <c r="B4" i="7"/>
  <c r="B5" i="7"/>
  <c r="B6" i="7"/>
  <c r="B7" i="7"/>
  <c r="B2" i="7"/>
  <c r="C16" i="5"/>
  <c r="C17" i="5"/>
  <c r="C18" i="5"/>
  <c r="C19" i="5"/>
  <c r="C20" i="5"/>
  <c r="C15" i="5"/>
  <c r="C3" i="5"/>
  <c r="C4" i="5"/>
  <c r="C5" i="5"/>
  <c r="C6" i="5"/>
  <c r="C7" i="5"/>
  <c r="C8" i="5"/>
  <c r="C9" i="5"/>
  <c r="C10" i="5"/>
  <c r="C11" i="5"/>
  <c r="C2" i="5"/>
  <c r="D5" i="4" l="1"/>
  <c r="D4" i="4"/>
  <c r="D3" i="4"/>
  <c r="D2" i="4"/>
  <c r="D6" i="3" l="1"/>
  <c r="D5" i="3"/>
  <c r="D4" i="3"/>
  <c r="D3" i="3"/>
  <c r="D2" i="3"/>
  <c r="C6" i="3"/>
  <c r="C5" i="3"/>
  <c r="C4" i="3"/>
  <c r="C3" i="3"/>
  <c r="C2" i="3"/>
  <c r="B7" i="3"/>
  <c r="B6" i="3"/>
  <c r="B5" i="3"/>
  <c r="B4" i="3"/>
  <c r="B3" i="3"/>
  <c r="B2" i="3"/>
  <c r="A7" i="3"/>
  <c r="A6" i="3"/>
  <c r="A5" i="3"/>
  <c r="A4" i="3"/>
  <c r="A3" i="3"/>
  <c r="A2" i="3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<sst xmlns="http://schemas.openxmlformats.org/spreadsheetml/2006/main" count="163" uniqueCount="112">
  <si>
    <t>NAME</t>
  </si>
  <si>
    <t>AG</t>
  </si>
  <si>
    <t>SEX</t>
  </si>
  <si>
    <t>DOB</t>
  </si>
  <si>
    <t>SCHOOL</t>
  </si>
  <si>
    <t>JAMES</t>
  </si>
  <si>
    <t>JANE</t>
  </si>
  <si>
    <t>JOY</t>
  </si>
  <si>
    <t>DENG</t>
  </si>
  <si>
    <t>PEACE</t>
  </si>
  <si>
    <t>M</t>
  </si>
  <si>
    <t>F</t>
  </si>
  <si>
    <t>3\2\2025</t>
  </si>
  <si>
    <t>4\2\2025</t>
  </si>
  <si>
    <t>5\2\2025</t>
  </si>
  <si>
    <t>6\2\2025</t>
  </si>
  <si>
    <t>7\2\2025</t>
  </si>
  <si>
    <t>D KENYA</t>
  </si>
  <si>
    <t xml:space="preserve"> B UGGANDA</t>
  </si>
  <si>
    <t xml:space="preserve"> C SUDN</t>
  </si>
  <si>
    <t xml:space="preserve"> A ETHIOPIA</t>
  </si>
  <si>
    <t>A KENYA</t>
  </si>
  <si>
    <t>Addition</t>
  </si>
  <si>
    <t>Substractin</t>
  </si>
  <si>
    <t>Division</t>
  </si>
  <si>
    <t>Multiplication</t>
  </si>
  <si>
    <t>25/5</t>
  </si>
  <si>
    <t>Product</t>
  </si>
  <si>
    <t>COST</t>
  </si>
  <si>
    <t>SALE PRICE</t>
  </si>
  <si>
    <t>SOCK</t>
  </si>
  <si>
    <t>SHIRT</t>
  </si>
  <si>
    <t>HAT</t>
  </si>
  <si>
    <t>POSTER</t>
  </si>
  <si>
    <t>PROFIT MARGIN</t>
  </si>
  <si>
    <t xml:space="preserve"> buying p</t>
  </si>
  <si>
    <t>profit</t>
  </si>
  <si>
    <t>selling p</t>
  </si>
  <si>
    <t>UNIT PRICE</t>
  </si>
  <si>
    <t>QTY</t>
  </si>
  <si>
    <t>TOTAL COST</t>
  </si>
  <si>
    <t>TOTAL P</t>
  </si>
  <si>
    <t>P</t>
  </si>
  <si>
    <t xml:space="preserve">Product </t>
  </si>
  <si>
    <t>cataegory</t>
  </si>
  <si>
    <t>sale</t>
  </si>
  <si>
    <t>qty</t>
  </si>
  <si>
    <t>price</t>
  </si>
  <si>
    <t>A</t>
  </si>
  <si>
    <t>Electronic</t>
  </si>
  <si>
    <t>B</t>
  </si>
  <si>
    <t>Accessories</t>
  </si>
  <si>
    <t>C</t>
  </si>
  <si>
    <t>D</t>
  </si>
  <si>
    <t>E</t>
  </si>
  <si>
    <t>G</t>
  </si>
  <si>
    <t>Furnifure</t>
  </si>
  <si>
    <t>H</t>
  </si>
  <si>
    <t>I</t>
  </si>
  <si>
    <t>J</t>
  </si>
  <si>
    <t>GENDER</t>
  </si>
  <si>
    <t>type of sale</t>
  </si>
  <si>
    <t>low sale</t>
  </si>
  <si>
    <t>SUM COUNT COUNTA COUNTBLANK AVERAGE MIN MAX IF</t>
  </si>
  <si>
    <t>ORDER</t>
  </si>
  <si>
    <t>PRODUCT</t>
  </si>
  <si>
    <t>QUANITY</t>
  </si>
  <si>
    <t>UNIT P</t>
  </si>
  <si>
    <t>REVEN</t>
  </si>
  <si>
    <t>LAPTOP</t>
  </si>
  <si>
    <t>MOUSE</t>
  </si>
  <si>
    <t>MONITOR</t>
  </si>
  <si>
    <t>KEYBOARRD</t>
  </si>
  <si>
    <t>CHAIR</t>
  </si>
  <si>
    <t>DESK</t>
  </si>
  <si>
    <t>SPEAKER</t>
  </si>
  <si>
    <t>PRINTER</t>
  </si>
  <si>
    <t>SCANNER</t>
  </si>
  <si>
    <t>ROUTER</t>
  </si>
  <si>
    <t>TOTAL T</t>
  </si>
  <si>
    <t>TOTAL O</t>
  </si>
  <si>
    <t>FILL P N</t>
  </si>
  <si>
    <t xml:space="preserve">RECORD </t>
  </si>
  <si>
    <t>NON EMTY RE</t>
  </si>
  <si>
    <t>MISS PRO NAM</t>
  </si>
  <si>
    <t>PROD FIELD</t>
  </si>
  <si>
    <t xml:space="preserve">MISS </t>
  </si>
  <si>
    <t>AVER</t>
  </si>
  <si>
    <t>AVER QTY</t>
  </si>
  <si>
    <t>AVER P</t>
  </si>
  <si>
    <t>MIN QTY</t>
  </si>
  <si>
    <t>MIN P</t>
  </si>
  <si>
    <t>MAX REVEN</t>
  </si>
  <si>
    <t>MX REVENUE</t>
  </si>
  <si>
    <t>MAX P</t>
  </si>
  <si>
    <t>HIGH REV</t>
  </si>
  <si>
    <t>PROFITABLE</t>
  </si>
  <si>
    <t>CATEGORY</t>
  </si>
  <si>
    <t>SALE</t>
  </si>
  <si>
    <t>PRICE</t>
  </si>
  <si>
    <t>SUM OF SALES FOR CATEGORY</t>
  </si>
  <si>
    <t>TOTAL QUANITY FOR CATEGORY</t>
  </si>
  <si>
    <t>TOTAL PRICE FOR CATEGORY A</t>
  </si>
  <si>
    <t>TOTAL SALES FOR PRODUCT A</t>
  </si>
  <si>
    <t>TOTAL SALES FOR PRODUCT B</t>
  </si>
  <si>
    <t>TOTAL SALES FOR PRODUCT C</t>
  </si>
  <si>
    <t>NUMBER OF PRICES FOR CATEGORY B</t>
  </si>
  <si>
    <t>NUMBER OF PRICES ABOVE 20</t>
  </si>
  <si>
    <t>NUMBER SALE ABOVE 200</t>
  </si>
  <si>
    <t>NUMBER OF QUANTITIES ABOVE 10</t>
  </si>
  <si>
    <t>NUMBER OF PRICES BELOW 20</t>
  </si>
  <si>
    <t>NUMBER OF SALE BELOW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</si>
</sst>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8" formatCode="&quot;$&quot;#,##0.00_);[Red]\(&quot;$&quot;#,##0.00\)"/>
    <numFmt numFmtId="164" formatCode="0.00000"/>
    <numFmt numFmtId="165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164" fontId="0" fillId="0" borderId="0" xfId="0" applyNumberFormat="1"/>
    <xf numFmtId="14" fontId="0" fillId="0" borderId="0" xfId="0" applyNumberFormat="1"/>
    <xf numFmtId="8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6">
    <dxf>
      <numFmt numFmtId="30" formatCode="@"/>
    </dxf>
    <dxf>
      <numFmt numFmtId="19" formatCode="m/d/yyyy"/>
    </dxf>
    <dxf>
      <numFmt numFmtId="30" formatCode="@"/>
    </dxf>
    <dxf>
      <numFmt numFmtId="164" formatCode="0.00000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E6" totalsRowShown="0" headerRowDxfId="5">
  <autoFilter ref="A1:E6"/>
  <sortState ref="A2:E6">
    <sortCondition ref="A1"/>
  </sortState>
  <tableColumns count="5">
    <tableColumn id="1" name="NAME" dataDxfId="4"/>
    <tableColumn id="2" name="AG" dataDxfId="3"/>
    <tableColumn id="3" name="SEX" dataDxfId="2"/>
    <tableColumn id="4" name="DOB" dataDxfId="1"/>
    <tableColumn id="5" name="SCHOOL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E4" sqref="E4"/>
    </sheetView>
  </sheetViews>
  <sheetFormatPr defaultRowHeight="15" x14ac:dyDescent="0.25"/>
  <cols>
    <col min="1" max="1" width="9.140625" style="1"/>
    <col min="2" max="2" width="9.140625" style="2"/>
    <col min="3" max="3" width="9.140625" style="1"/>
    <col min="4" max="4" width="9.140625" style="3"/>
    <col min="5" max="5" width="10.28515625" style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3" t="s">
        <v>3</v>
      </c>
      <c r="E1" s="1" t="s">
        <v>4</v>
      </c>
    </row>
    <row r="2" spans="1:5" x14ac:dyDescent="0.25">
      <c r="A2" s="1" t="s">
        <v>8</v>
      </c>
      <c r="B2" s="2">
        <v>45</v>
      </c>
      <c r="C2" s="1" t="s">
        <v>10</v>
      </c>
      <c r="D2" s="3" t="s">
        <v>15</v>
      </c>
      <c r="E2" s="1" t="s">
        <v>17</v>
      </c>
    </row>
    <row r="3" spans="1:5" x14ac:dyDescent="0.25">
      <c r="A3" s="1" t="s">
        <v>5</v>
      </c>
      <c r="B3" s="2">
        <v>23</v>
      </c>
      <c r="C3" s="1" t="s">
        <v>10</v>
      </c>
      <c r="D3" s="3" t="s">
        <v>12</v>
      </c>
      <c r="E3" s="1" t="s">
        <v>21</v>
      </c>
    </row>
    <row r="4" spans="1:5" x14ac:dyDescent="0.25">
      <c r="A4" s="1" t="s">
        <v>6</v>
      </c>
      <c r="B4" s="2">
        <v>34</v>
      </c>
      <c r="C4" s="1" t="s">
        <v>11</v>
      </c>
      <c r="D4" s="3" t="s">
        <v>13</v>
      </c>
      <c r="E4" s="1" t="s">
        <v>18</v>
      </c>
    </row>
    <row r="5" spans="1:5" x14ac:dyDescent="0.25">
      <c r="A5" s="1" t="s">
        <v>7</v>
      </c>
      <c r="B5" s="2">
        <v>25</v>
      </c>
      <c r="C5" s="1" t="s">
        <v>11</v>
      </c>
      <c r="D5" s="3" t="s">
        <v>14</v>
      </c>
      <c r="E5" s="1" t="s">
        <v>19</v>
      </c>
    </row>
    <row r="6" spans="1:5" x14ac:dyDescent="0.25">
      <c r="A6" s="1" t="s">
        <v>9</v>
      </c>
      <c r="B6" s="2">
        <v>70</v>
      </c>
      <c r="C6" s="1" t="s">
        <v>11</v>
      </c>
      <c r="D6" s="3" t="s">
        <v>16</v>
      </c>
      <c r="E6" s="1" t="s">
        <v>20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B1" sqref="B1"/>
    </sheetView>
  </sheetViews>
  <sheetFormatPr defaultRowHeight="15" x14ac:dyDescent="0.25"/>
  <sheetData>
    <row r="1" spans="1:1" x14ac:dyDescent="0.25">
      <c r="A1">
        <v>123</v>
      </c>
    </row>
    <row r="2" spans="1:1" x14ac:dyDescent="0.25">
      <c r="A2">
        <f>79+6</f>
        <v>85</v>
      </c>
    </row>
    <row r="3" spans="1:1" x14ac:dyDescent="0.25">
      <c r="A3">
        <f>57+67</f>
        <v>124</v>
      </c>
    </row>
    <row r="4" spans="1:1" x14ac:dyDescent="0.25">
      <c r="A4">
        <f>23+54</f>
        <v>77</v>
      </c>
    </row>
    <row r="5" spans="1:1" x14ac:dyDescent="0.25">
      <c r="A5">
        <f>89+5</f>
        <v>94</v>
      </c>
    </row>
    <row r="6" spans="1:1" x14ac:dyDescent="0.25">
      <c r="A6">
        <f>54+4</f>
        <v>58</v>
      </c>
    </row>
    <row r="7" spans="1:1" x14ac:dyDescent="0.25">
      <c r="A7">
        <f>34+43</f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D7" sqref="D7"/>
    </sheetView>
  </sheetViews>
  <sheetFormatPr defaultRowHeight="15" x14ac:dyDescent="0.25"/>
  <cols>
    <col min="2" max="2" width="10.85546875" bestFit="1" customWidth="1"/>
    <col min="3" max="3" width="8.140625" bestFit="1" customWidth="1"/>
    <col min="4" max="4" width="13.5703125" bestFit="1" customWidth="1"/>
  </cols>
  <sheetData>
    <row r="1" spans="1:4" x14ac:dyDescent="0.25">
      <c r="A1" t="s">
        <v>22</v>
      </c>
      <c r="B1" t="s">
        <v>23</v>
      </c>
      <c r="C1" t="s">
        <v>24</v>
      </c>
      <c r="D1" t="s">
        <v>25</v>
      </c>
    </row>
    <row r="2" spans="1:4" x14ac:dyDescent="0.25">
      <c r="A2">
        <f>56+45</f>
        <v>101</v>
      </c>
      <c r="B2">
        <f>65-23</f>
        <v>42</v>
      </c>
      <c r="C2">
        <f>60/30</f>
        <v>2</v>
      </c>
      <c r="D2">
        <f>45*23</f>
        <v>1035</v>
      </c>
    </row>
    <row r="3" spans="1:4" x14ac:dyDescent="0.25">
      <c r="A3">
        <f>74+43</f>
        <v>117</v>
      </c>
      <c r="B3">
        <f>76-43</f>
        <v>33</v>
      </c>
      <c r="C3">
        <f>100/10</f>
        <v>10</v>
      </c>
      <c r="D3">
        <f>5*5</f>
        <v>25</v>
      </c>
    </row>
    <row r="4" spans="1:4" x14ac:dyDescent="0.25">
      <c r="A4">
        <f>43+21</f>
        <v>64</v>
      </c>
      <c r="B4">
        <f>84-34</f>
        <v>50</v>
      </c>
      <c r="C4">
        <f>1000/100</f>
        <v>10</v>
      </c>
      <c r="D4">
        <f>34*34</f>
        <v>1156</v>
      </c>
    </row>
    <row r="5" spans="1:4" x14ac:dyDescent="0.25">
      <c r="A5">
        <f>34+23</f>
        <v>57</v>
      </c>
      <c r="B5">
        <f>53-32</f>
        <v>21</v>
      </c>
      <c r="C5">
        <f>444/24</f>
        <v>18.5</v>
      </c>
      <c r="D5">
        <f>6*6</f>
        <v>36</v>
      </c>
    </row>
    <row r="6" spans="1:4" x14ac:dyDescent="0.25">
      <c r="A6">
        <f>12+23</f>
        <v>35</v>
      </c>
      <c r="B6">
        <f>45-32</f>
        <v>13</v>
      </c>
      <c r="C6">
        <f>50/10</f>
        <v>5</v>
      </c>
      <c r="D6">
        <f>55*56</f>
        <v>3080</v>
      </c>
    </row>
    <row r="7" spans="1:4" x14ac:dyDescent="0.25">
      <c r="A7">
        <f>34+23</f>
        <v>57</v>
      </c>
      <c r="B7">
        <f>90-65</f>
        <v>25</v>
      </c>
      <c r="C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6" sqref="D6"/>
    </sheetView>
  </sheetViews>
  <sheetFormatPr defaultRowHeight="15" x14ac:dyDescent="0.25"/>
  <cols>
    <col min="3" max="3" width="10.5703125" bestFit="1" customWidth="1"/>
    <col min="4" max="4" width="15.28515625" bestFit="1" customWidth="1"/>
  </cols>
  <sheetData>
    <row r="1" spans="1:4" x14ac:dyDescent="0.25">
      <c r="A1" t="s">
        <v>27</v>
      </c>
      <c r="B1" t="s">
        <v>28</v>
      </c>
      <c r="C1" t="s">
        <v>29</v>
      </c>
      <c r="D1" t="s">
        <v>34</v>
      </c>
    </row>
    <row r="2" spans="1:4" x14ac:dyDescent="0.25">
      <c r="A2" t="s">
        <v>30</v>
      </c>
      <c r="B2" s="4">
        <v>3</v>
      </c>
      <c r="C2" s="4">
        <v>12</v>
      </c>
      <c r="D2" s="4">
        <f>(C2-B2)/C2</f>
        <v>0.75</v>
      </c>
    </row>
    <row r="3" spans="1:4" x14ac:dyDescent="0.25">
      <c r="A3" t="s">
        <v>31</v>
      </c>
      <c r="B3" s="4">
        <v>5</v>
      </c>
      <c r="C3" s="4">
        <v>14.5</v>
      </c>
      <c r="D3" s="4">
        <f>(C2-B2)/C3</f>
        <v>0.62068965517241381</v>
      </c>
    </row>
    <row r="4" spans="1:4" x14ac:dyDescent="0.25">
      <c r="A4" t="s">
        <v>32</v>
      </c>
      <c r="B4" s="4">
        <v>3</v>
      </c>
      <c r="C4" s="4">
        <v>8.99</v>
      </c>
      <c r="D4" s="4">
        <f>(C2-B2)/C4</f>
        <v>1.0011123470522802</v>
      </c>
    </row>
    <row r="5" spans="1:4" x14ac:dyDescent="0.25">
      <c r="A5" t="s">
        <v>33</v>
      </c>
      <c r="B5" s="4">
        <v>1</v>
      </c>
      <c r="C5" s="4">
        <v>7.5</v>
      </c>
      <c r="D5" s="4">
        <f>(C2-B2)/C5</f>
        <v>1.2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21" workbookViewId="0">
      <selection activeCell="I23" sqref="I23"/>
    </sheetView>
  </sheetViews>
  <sheetFormatPr defaultRowHeight="15" x14ac:dyDescent="0.25"/>
  <cols>
    <col min="1" max="1" width="10.85546875" bestFit="1" customWidth="1"/>
    <col min="3" max="3" width="10.140625" bestFit="1" customWidth="1"/>
  </cols>
  <sheetData>
    <row r="1" spans="1:5" x14ac:dyDescent="0.25">
      <c r="A1" t="s">
        <v>35</v>
      </c>
      <c r="B1" t="s">
        <v>36</v>
      </c>
      <c r="C1" t="s">
        <v>37</v>
      </c>
      <c r="E1" t="s">
        <v>41</v>
      </c>
    </row>
    <row r="2" spans="1:5" x14ac:dyDescent="0.25">
      <c r="A2">
        <v>3445</v>
      </c>
      <c r="B2">
        <v>642</v>
      </c>
      <c r="C2">
        <f>A2+B2</f>
        <v>4087</v>
      </c>
      <c r="E2" t="s">
        <v>42</v>
      </c>
    </row>
    <row r="3" spans="1:5" x14ac:dyDescent="0.25">
      <c r="A3">
        <v>500</v>
      </c>
      <c r="B3">
        <v>321</v>
      </c>
      <c r="C3">
        <f t="shared" ref="C3:C11" si="0">A3+B3</f>
        <v>821</v>
      </c>
    </row>
    <row r="4" spans="1:5" x14ac:dyDescent="0.25">
      <c r="A4">
        <v>456</v>
      </c>
      <c r="B4">
        <v>400</v>
      </c>
      <c r="C4">
        <f t="shared" si="0"/>
        <v>856</v>
      </c>
    </row>
    <row r="5" spans="1:5" x14ac:dyDescent="0.25">
      <c r="A5">
        <v>100</v>
      </c>
      <c r="B5">
        <v>765</v>
      </c>
      <c r="C5">
        <f t="shared" si="0"/>
        <v>865</v>
      </c>
    </row>
    <row r="6" spans="1:5" x14ac:dyDescent="0.25">
      <c r="A6">
        <v>428</v>
      </c>
      <c r="B6">
        <v>876</v>
      </c>
      <c r="C6">
        <f t="shared" si="0"/>
        <v>1304</v>
      </c>
    </row>
    <row r="7" spans="1:5" x14ac:dyDescent="0.25">
      <c r="A7">
        <v>523</v>
      </c>
      <c r="B7">
        <v>200</v>
      </c>
      <c r="C7">
        <f t="shared" si="0"/>
        <v>723</v>
      </c>
    </row>
    <row r="8" spans="1:5" x14ac:dyDescent="0.25">
      <c r="A8">
        <v>523</v>
      </c>
      <c r="B8">
        <v>300</v>
      </c>
      <c r="C8">
        <f t="shared" si="0"/>
        <v>823</v>
      </c>
    </row>
    <row r="9" spans="1:5" x14ac:dyDescent="0.25">
      <c r="A9">
        <v>900</v>
      </c>
      <c r="B9">
        <v>50</v>
      </c>
      <c r="C9">
        <f t="shared" si="0"/>
        <v>950</v>
      </c>
    </row>
    <row r="10" spans="1:5" x14ac:dyDescent="0.25">
      <c r="A10">
        <v>640</v>
      </c>
      <c r="B10">
        <v>200</v>
      </c>
      <c r="C10">
        <f t="shared" si="0"/>
        <v>840</v>
      </c>
    </row>
    <row r="11" spans="1:5" x14ac:dyDescent="0.25">
      <c r="A11">
        <v>280</v>
      </c>
      <c r="B11">
        <v>150</v>
      </c>
      <c r="C11">
        <f t="shared" si="0"/>
        <v>430</v>
      </c>
    </row>
    <row r="14" spans="1:5" x14ac:dyDescent="0.25">
      <c r="A14" s="5" t="s">
        <v>38</v>
      </c>
      <c r="B14" t="s">
        <v>39</v>
      </c>
      <c r="C14" t="s">
        <v>40</v>
      </c>
    </row>
    <row r="15" spans="1:5" x14ac:dyDescent="0.25">
      <c r="A15" s="6">
        <v>4006</v>
      </c>
      <c r="B15">
        <v>4</v>
      </c>
      <c r="C15" s="6">
        <f>A15*B15</f>
        <v>16024</v>
      </c>
    </row>
    <row r="16" spans="1:5" x14ac:dyDescent="0.25">
      <c r="A16" s="5">
        <v>5000</v>
      </c>
      <c r="B16">
        <v>5</v>
      </c>
      <c r="C16" s="6">
        <f t="shared" ref="C16:C20" si="1">A16*B16</f>
        <v>25000</v>
      </c>
    </row>
    <row r="17" spans="1:6" x14ac:dyDescent="0.25">
      <c r="A17" s="5">
        <v>3435</v>
      </c>
      <c r="B17">
        <v>7</v>
      </c>
      <c r="C17" s="6">
        <f t="shared" si="1"/>
        <v>24045</v>
      </c>
    </row>
    <row r="18" spans="1:6" x14ac:dyDescent="0.25">
      <c r="A18" s="5">
        <v>2341</v>
      </c>
      <c r="B18">
        <v>5</v>
      </c>
      <c r="C18" s="6">
        <f t="shared" si="1"/>
        <v>11705</v>
      </c>
    </row>
    <row r="19" spans="1:6" x14ac:dyDescent="0.25">
      <c r="A19" s="5">
        <v>2345</v>
      </c>
      <c r="B19">
        <v>21</v>
      </c>
      <c r="C19" s="6">
        <f t="shared" si="1"/>
        <v>49245</v>
      </c>
    </row>
    <row r="20" spans="1:6" x14ac:dyDescent="0.25">
      <c r="A20" s="5">
        <v>4567</v>
      </c>
      <c r="B20">
        <v>6</v>
      </c>
      <c r="C20" s="6">
        <f t="shared" si="1"/>
        <v>27402</v>
      </c>
    </row>
    <row r="22" spans="1:6" x14ac:dyDescent="0.25">
      <c r="A22" s="7" t="s">
        <v>43</v>
      </c>
      <c r="B22" s="7" t="s">
        <v>44</v>
      </c>
      <c r="C22" s="7" t="s">
        <v>45</v>
      </c>
      <c r="D22" s="7" t="s">
        <v>46</v>
      </c>
      <c r="E22" s="7" t="s">
        <v>47</v>
      </c>
      <c r="F22" s="7" t="s">
        <v>61</v>
      </c>
    </row>
    <row r="23" spans="1:6" x14ac:dyDescent="0.25">
      <c r="A23" t="s">
        <v>48</v>
      </c>
      <c r="B23" t="s">
        <v>49</v>
      </c>
      <c r="C23">
        <v>100</v>
      </c>
      <c r="D23">
        <v>5</v>
      </c>
      <c r="E23">
        <v>20</v>
      </c>
      <c r="F23" t="s">
        <v>62</v>
      </c>
    </row>
    <row r="24" spans="1:6" x14ac:dyDescent="0.25">
      <c r="A24" t="s">
        <v>50</v>
      </c>
      <c r="B24" t="s">
        <v>51</v>
      </c>
      <c r="C24">
        <v>200</v>
      </c>
      <c r="D24">
        <v>6</v>
      </c>
      <c r="E24">
        <v>20</v>
      </c>
      <c r="F24" t="str">
        <f t="shared" ref="F24:F32" si="2">IF(C24&gt;=200,"high sale","low sale")</f>
        <v>high sale</v>
      </c>
    </row>
    <row r="25" spans="1:6" x14ac:dyDescent="0.25">
      <c r="A25" t="s">
        <v>52</v>
      </c>
      <c r="B25" t="s">
        <v>51</v>
      </c>
      <c r="C25">
        <v>150</v>
      </c>
      <c r="D25">
        <v>14</v>
      </c>
      <c r="E25">
        <v>21</v>
      </c>
      <c r="F25" t="str">
        <f t="shared" si="2"/>
        <v>low sale</v>
      </c>
    </row>
    <row r="26" spans="1:6" x14ac:dyDescent="0.25">
      <c r="A26" t="s">
        <v>53</v>
      </c>
      <c r="B26" t="s">
        <v>49</v>
      </c>
      <c r="C26">
        <v>400</v>
      </c>
      <c r="D26">
        <v>23</v>
      </c>
      <c r="E26">
        <v>20</v>
      </c>
      <c r="F26" t="str">
        <f t="shared" si="2"/>
        <v>high sale</v>
      </c>
    </row>
    <row r="27" spans="1:6" x14ac:dyDescent="0.25">
      <c r="A27" t="s">
        <v>54</v>
      </c>
      <c r="B27" t="s">
        <v>51</v>
      </c>
      <c r="C27">
        <v>543</v>
      </c>
      <c r="D27">
        <v>41</v>
      </c>
      <c r="E27">
        <v>21</v>
      </c>
      <c r="F27" t="str">
        <f t="shared" si="2"/>
        <v>high sale</v>
      </c>
    </row>
    <row r="28" spans="1:6" x14ac:dyDescent="0.25">
      <c r="A28" t="s">
        <v>11</v>
      </c>
      <c r="B28" t="s">
        <v>49</v>
      </c>
      <c r="C28">
        <v>411</v>
      </c>
      <c r="D28">
        <v>31</v>
      </c>
      <c r="E28">
        <v>30</v>
      </c>
      <c r="F28" t="str">
        <f t="shared" si="2"/>
        <v>high sale</v>
      </c>
    </row>
    <row r="29" spans="1:6" x14ac:dyDescent="0.25">
      <c r="A29" t="s">
        <v>55</v>
      </c>
      <c r="B29" t="s">
        <v>56</v>
      </c>
      <c r="C29">
        <v>300</v>
      </c>
      <c r="D29">
        <v>24</v>
      </c>
      <c r="E29">
        <v>20</v>
      </c>
      <c r="F29" t="str">
        <f t="shared" si="2"/>
        <v>high sale</v>
      </c>
    </row>
    <row r="30" spans="1:6" x14ac:dyDescent="0.25">
      <c r="A30" t="s">
        <v>57</v>
      </c>
      <c r="B30" t="s">
        <v>56</v>
      </c>
      <c r="C30">
        <v>500</v>
      </c>
      <c r="D30">
        <v>61</v>
      </c>
      <c r="E30">
        <v>21</v>
      </c>
      <c r="F30" t="str">
        <f t="shared" si="2"/>
        <v>high sale</v>
      </c>
    </row>
    <row r="31" spans="1:6" x14ac:dyDescent="0.25">
      <c r="A31" t="s">
        <v>58</v>
      </c>
      <c r="B31" t="s">
        <v>49</v>
      </c>
      <c r="C31">
        <v>110</v>
      </c>
      <c r="D31">
        <v>3</v>
      </c>
      <c r="E31">
        <v>20</v>
      </c>
      <c r="F31" t="str">
        <f t="shared" si="2"/>
        <v>low sale</v>
      </c>
    </row>
    <row r="32" spans="1:6" x14ac:dyDescent="0.25">
      <c r="A32" t="s">
        <v>59</v>
      </c>
      <c r="B32" t="s">
        <v>49</v>
      </c>
      <c r="C32">
        <v>700</v>
      </c>
      <c r="D32">
        <v>6</v>
      </c>
      <c r="E32">
        <v>30</v>
      </c>
      <c r="F32" t="str">
        <f t="shared" si="2"/>
        <v>high sale</v>
      </c>
    </row>
    <row r="33" spans="1:6" x14ac:dyDescent="0.25">
      <c r="A33" s="7"/>
      <c r="B33" s="7"/>
      <c r="C33" s="7"/>
      <c r="D33" s="7"/>
      <c r="E33" s="7"/>
      <c r="F33" s="7"/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60</v>
      </c>
    </row>
    <row r="2" spans="1:2" x14ac:dyDescent="0.25">
      <c r="A2">
        <v>0</v>
      </c>
      <c r="B2" t="str">
        <f>IF(A2=0,"female","male")</f>
        <v>female</v>
      </c>
    </row>
    <row r="3" spans="1:2" x14ac:dyDescent="0.25">
      <c r="A3">
        <v>1</v>
      </c>
      <c r="B3" t="str">
        <f t="shared" ref="B3:B7" si="0">IF(A3=0,"female","male")</f>
        <v>male</v>
      </c>
    </row>
    <row r="4" spans="1:2" x14ac:dyDescent="0.25">
      <c r="A4">
        <v>0</v>
      </c>
      <c r="B4" t="str">
        <f t="shared" si="0"/>
        <v>female</v>
      </c>
    </row>
    <row r="5" spans="1:2" x14ac:dyDescent="0.25">
      <c r="A5">
        <v>1</v>
      </c>
      <c r="B5" t="str">
        <f t="shared" si="0"/>
        <v>male</v>
      </c>
    </row>
    <row r="6" spans="1:2" x14ac:dyDescent="0.25">
      <c r="A6">
        <v>1</v>
      </c>
      <c r="B6" t="str">
        <f t="shared" si="0"/>
        <v>male</v>
      </c>
    </row>
    <row r="7" spans="1:2" x14ac:dyDescent="0.25">
      <c r="A7">
        <v>0</v>
      </c>
      <c r="B7" t="str">
        <f t="shared" si="0"/>
        <v>female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opLeftCell="A8" workbookViewId="0">
      <selection activeCell="D29" sqref="D29"/>
    </sheetView>
  </sheetViews>
  <sheetFormatPr defaultRowHeight="15" x14ac:dyDescent="0.25"/>
  <cols>
    <col min="2" max="2" width="11.5703125" bestFit="1" customWidth="1"/>
    <col min="8" max="8" width="18.85546875" customWidth="1"/>
    <col min="9" max="9" width="17.28515625" customWidth="1"/>
    <col min="10" max="10" width="13.42578125" customWidth="1"/>
  </cols>
  <sheetData>
    <row r="1" spans="1:10" x14ac:dyDescent="0.25">
      <c r="A1" s="8" t="s">
        <v>63</v>
      </c>
      <c r="B1" s="9"/>
      <c r="C1" s="9"/>
      <c r="D1" s="9"/>
      <c r="E1" s="9"/>
      <c r="F1" s="9"/>
      <c r="G1" s="9"/>
      <c r="H1" s="9"/>
      <c r="I1" s="9"/>
      <c r="J1" s="9"/>
    </row>
    <row r="2" spans="1:10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J2" t="s">
        <v>95</v>
      </c>
    </row>
    <row r="3" spans="1:10" x14ac:dyDescent="0.25">
      <c r="A3">
        <v>2001</v>
      </c>
      <c r="B3" t="s">
        <v>69</v>
      </c>
      <c r="C3">
        <v>2</v>
      </c>
      <c r="D3">
        <v>800</v>
      </c>
      <c r="E3">
        <v>1600</v>
      </c>
      <c r="J3" t="str">
        <f>IF(D2&gt;100,"EXPENSIVE","IF CHEAP")</f>
        <v>EXPENSIVE</v>
      </c>
    </row>
    <row r="4" spans="1:10" x14ac:dyDescent="0.25">
      <c r="A4">
        <v>2002</v>
      </c>
      <c r="B4" t="s">
        <v>70</v>
      </c>
      <c r="C4">
        <v>3</v>
      </c>
      <c r="D4">
        <v>25</v>
      </c>
      <c r="E4">
        <v>75</v>
      </c>
      <c r="J4" t="str">
        <f t="shared" ref="J4:J30" si="0">IF(D3&gt;100,"EXPENSIVE","IF CHEAP")</f>
        <v>EXPENSIVE</v>
      </c>
    </row>
    <row r="5" spans="1:10" x14ac:dyDescent="0.25">
      <c r="A5">
        <v>2003</v>
      </c>
      <c r="B5" t="s">
        <v>71</v>
      </c>
      <c r="C5">
        <v>5</v>
      </c>
      <c r="D5">
        <v>220</v>
      </c>
      <c r="E5">
        <v>1100</v>
      </c>
      <c r="J5" t="str">
        <f t="shared" si="0"/>
        <v>IF CHEAP</v>
      </c>
    </row>
    <row r="6" spans="1:10" x14ac:dyDescent="0.25">
      <c r="A6">
        <v>2004</v>
      </c>
      <c r="B6" t="s">
        <v>72</v>
      </c>
      <c r="C6">
        <v>1</v>
      </c>
      <c r="D6">
        <v>55</v>
      </c>
      <c r="E6">
        <v>55</v>
      </c>
      <c r="J6" t="str">
        <f t="shared" si="0"/>
        <v>EXPENSIVE</v>
      </c>
    </row>
    <row r="7" spans="1:10" x14ac:dyDescent="0.25">
      <c r="A7">
        <v>2005</v>
      </c>
      <c r="B7" t="s">
        <v>73</v>
      </c>
      <c r="C7">
        <v>4</v>
      </c>
      <c r="D7">
        <v>90</v>
      </c>
      <c r="E7">
        <v>360</v>
      </c>
      <c r="J7" t="str">
        <f t="shared" si="0"/>
        <v>IF CHEAP</v>
      </c>
    </row>
    <row r="8" spans="1:10" x14ac:dyDescent="0.25">
      <c r="A8">
        <v>2006</v>
      </c>
      <c r="B8" t="s">
        <v>74</v>
      </c>
      <c r="C8">
        <v>2</v>
      </c>
      <c r="D8">
        <v>350</v>
      </c>
      <c r="E8">
        <v>700</v>
      </c>
      <c r="J8" t="str">
        <f t="shared" si="0"/>
        <v>IF CHEAP</v>
      </c>
    </row>
    <row r="9" spans="1:10" x14ac:dyDescent="0.25">
      <c r="A9">
        <v>2007</v>
      </c>
      <c r="B9" t="s">
        <v>75</v>
      </c>
      <c r="C9">
        <v>3</v>
      </c>
      <c r="D9">
        <v>50</v>
      </c>
      <c r="E9">
        <v>150</v>
      </c>
      <c r="J9" t="str">
        <f t="shared" si="0"/>
        <v>EXPENSIVE</v>
      </c>
    </row>
    <row r="10" spans="1:10" x14ac:dyDescent="0.25">
      <c r="A10">
        <v>2008</v>
      </c>
      <c r="B10" t="s">
        <v>73</v>
      </c>
      <c r="C10">
        <v>2</v>
      </c>
      <c r="D10">
        <v>270</v>
      </c>
      <c r="E10">
        <v>540</v>
      </c>
      <c r="J10" t="str">
        <f t="shared" si="0"/>
        <v>IF CHEAP</v>
      </c>
    </row>
    <row r="11" spans="1:10" x14ac:dyDescent="0.25">
      <c r="A11">
        <v>2009</v>
      </c>
      <c r="B11" t="s">
        <v>77</v>
      </c>
      <c r="C11">
        <v>1</v>
      </c>
      <c r="D11">
        <v>190</v>
      </c>
      <c r="E11">
        <v>190</v>
      </c>
      <c r="J11" t="str">
        <f t="shared" si="0"/>
        <v>EXPENSIVE</v>
      </c>
    </row>
    <row r="12" spans="1:10" x14ac:dyDescent="0.25">
      <c r="A12">
        <v>2010</v>
      </c>
      <c r="B12" t="s">
        <v>78</v>
      </c>
      <c r="C12">
        <v>3</v>
      </c>
      <c r="D12">
        <v>75</v>
      </c>
      <c r="E12">
        <v>225</v>
      </c>
      <c r="H12" t="s">
        <v>79</v>
      </c>
      <c r="I12">
        <f>COUNT(A2:A25)</f>
        <v>23</v>
      </c>
      <c r="J12" t="str">
        <f t="shared" si="0"/>
        <v>EXPENSIVE</v>
      </c>
    </row>
    <row r="13" spans="1:10" x14ac:dyDescent="0.25">
      <c r="A13">
        <v>2011</v>
      </c>
      <c r="B13" t="s">
        <v>69</v>
      </c>
      <c r="C13">
        <v>2</v>
      </c>
      <c r="D13">
        <v>800</v>
      </c>
      <c r="E13">
        <v>1600</v>
      </c>
      <c r="H13" t="s">
        <v>41</v>
      </c>
      <c r="I13">
        <f>COUNT(A2:A25)</f>
        <v>23</v>
      </c>
      <c r="J13" t="str">
        <f t="shared" si="0"/>
        <v>IF CHEAP</v>
      </c>
    </row>
    <row r="14" spans="1:10" x14ac:dyDescent="0.25">
      <c r="A14">
        <v>2012</v>
      </c>
      <c r="B14" t="s">
        <v>70</v>
      </c>
      <c r="C14">
        <v>3</v>
      </c>
      <c r="D14">
        <v>25</v>
      </c>
      <c r="E14">
        <v>75</v>
      </c>
      <c r="H14" t="s">
        <v>80</v>
      </c>
      <c r="I14">
        <f>COUNT(A2:A25)</f>
        <v>23</v>
      </c>
      <c r="J14" t="str">
        <f t="shared" si="0"/>
        <v>EXPENSIVE</v>
      </c>
    </row>
    <row r="15" spans="1:10" x14ac:dyDescent="0.25">
      <c r="A15">
        <v>2013</v>
      </c>
      <c r="B15" t="s">
        <v>71</v>
      </c>
      <c r="C15">
        <v>5</v>
      </c>
      <c r="D15">
        <v>220</v>
      </c>
      <c r="E15">
        <v>1100</v>
      </c>
      <c r="H15" t="s">
        <v>81</v>
      </c>
      <c r="I15">
        <f>COUNTA(B2:B25)</f>
        <v>24</v>
      </c>
      <c r="J15" t="str">
        <f t="shared" si="0"/>
        <v>IF CHEAP</v>
      </c>
    </row>
    <row r="16" spans="1:10" x14ac:dyDescent="0.25">
      <c r="A16">
        <v>2014</v>
      </c>
      <c r="B16" t="s">
        <v>72</v>
      </c>
      <c r="C16">
        <v>1</v>
      </c>
      <c r="D16">
        <v>55</v>
      </c>
      <c r="E16">
        <v>55</v>
      </c>
      <c r="H16" t="s">
        <v>82</v>
      </c>
      <c r="I16">
        <f>COUNTA(A2:A25)</f>
        <v>24</v>
      </c>
      <c r="J16" t="str">
        <f t="shared" si="0"/>
        <v>EXPENSIVE</v>
      </c>
    </row>
    <row r="17" spans="1:10" x14ac:dyDescent="0.25">
      <c r="A17">
        <v>2015</v>
      </c>
      <c r="B17" t="s">
        <v>73</v>
      </c>
      <c r="C17">
        <v>4</v>
      </c>
      <c r="D17">
        <v>90</v>
      </c>
      <c r="E17">
        <v>360</v>
      </c>
      <c r="H17" t="s">
        <v>83</v>
      </c>
      <c r="I17">
        <f>COUNT(E2:E25)</f>
        <v>23</v>
      </c>
      <c r="J17" t="str">
        <f t="shared" si="0"/>
        <v>IF CHEAP</v>
      </c>
    </row>
    <row r="18" spans="1:10" x14ac:dyDescent="0.25">
      <c r="A18">
        <v>2016</v>
      </c>
      <c r="B18" t="s">
        <v>74</v>
      </c>
      <c r="C18">
        <v>2</v>
      </c>
      <c r="D18">
        <v>350</v>
      </c>
      <c r="E18">
        <v>700</v>
      </c>
      <c r="H18" t="s">
        <v>84</v>
      </c>
      <c r="I18">
        <f>COUNTBLANK(B3)</f>
        <v>0</v>
      </c>
      <c r="J18" t="str">
        <f t="shared" si="0"/>
        <v>IF CHEAP</v>
      </c>
    </row>
    <row r="19" spans="1:10" x14ac:dyDescent="0.25">
      <c r="A19">
        <v>2017</v>
      </c>
      <c r="B19" t="s">
        <v>75</v>
      </c>
      <c r="C19">
        <v>3</v>
      </c>
      <c r="D19">
        <v>50</v>
      </c>
      <c r="E19">
        <v>150</v>
      </c>
      <c r="H19" t="s">
        <v>85</v>
      </c>
      <c r="I19">
        <f>COUNTBLANK(B3:B28)</f>
        <v>1</v>
      </c>
      <c r="J19" t="str">
        <f t="shared" si="0"/>
        <v>EXPENSIVE</v>
      </c>
    </row>
    <row r="20" spans="1:10" x14ac:dyDescent="0.25">
      <c r="A20">
        <v>2018</v>
      </c>
      <c r="B20" t="s">
        <v>76</v>
      </c>
      <c r="C20">
        <v>2</v>
      </c>
      <c r="D20">
        <v>270</v>
      </c>
      <c r="E20">
        <v>540</v>
      </c>
      <c r="H20" t="s">
        <v>86</v>
      </c>
      <c r="I20">
        <f>COUNTBLANK(E2:E25)</f>
        <v>0</v>
      </c>
      <c r="J20" t="str">
        <f t="shared" si="0"/>
        <v>IF CHEAP</v>
      </c>
    </row>
    <row r="21" spans="1:10" x14ac:dyDescent="0.25">
      <c r="A21">
        <v>2019</v>
      </c>
      <c r="B21" t="s">
        <v>77</v>
      </c>
      <c r="C21">
        <v>1</v>
      </c>
      <c r="D21">
        <v>190</v>
      </c>
      <c r="E21">
        <v>190</v>
      </c>
      <c r="H21" t="s">
        <v>87</v>
      </c>
      <c r="I21">
        <f>AVEDEV(E2:E25)</f>
        <v>440</v>
      </c>
      <c r="J21" t="str">
        <f t="shared" si="0"/>
        <v>EXPENSIVE</v>
      </c>
    </row>
    <row r="22" spans="1:10" x14ac:dyDescent="0.25">
      <c r="A22">
        <v>2020</v>
      </c>
      <c r="B22" t="s">
        <v>78</v>
      </c>
      <c r="C22">
        <v>2</v>
      </c>
      <c r="D22">
        <v>75</v>
      </c>
      <c r="E22">
        <v>225</v>
      </c>
      <c r="H22" t="s">
        <v>88</v>
      </c>
      <c r="I22">
        <f>AVEDEV(C2:C25)</f>
        <v>1.0283553875236293</v>
      </c>
      <c r="J22" t="str">
        <f t="shared" si="0"/>
        <v>EXPENSIVE</v>
      </c>
    </row>
    <row r="23" spans="1:10" x14ac:dyDescent="0.25">
      <c r="A23">
        <v>2021</v>
      </c>
      <c r="B23" t="s">
        <v>69</v>
      </c>
      <c r="C23">
        <v>3</v>
      </c>
      <c r="D23">
        <v>800</v>
      </c>
      <c r="E23">
        <v>1600</v>
      </c>
      <c r="H23" t="s">
        <v>89</v>
      </c>
      <c r="I23">
        <f>AVEDEV(D2:D25)</f>
        <v>176.38941398865788</v>
      </c>
      <c r="J23" t="str">
        <f t="shared" si="0"/>
        <v>IF CHEAP</v>
      </c>
    </row>
    <row r="24" spans="1:10" x14ac:dyDescent="0.25">
      <c r="A24">
        <v>2022</v>
      </c>
      <c r="B24" t="s">
        <v>70</v>
      </c>
      <c r="C24">
        <v>2</v>
      </c>
      <c r="D24">
        <v>25</v>
      </c>
      <c r="E24">
        <v>75</v>
      </c>
      <c r="H24" t="s">
        <v>92</v>
      </c>
      <c r="I24" s="5">
        <f>MIN(E2:E25)</f>
        <v>55</v>
      </c>
      <c r="J24" t="str">
        <f t="shared" si="0"/>
        <v>EXPENSIVE</v>
      </c>
    </row>
    <row r="25" spans="1:10" x14ac:dyDescent="0.25">
      <c r="A25">
        <v>2023</v>
      </c>
      <c r="B25" t="s">
        <v>71</v>
      </c>
      <c r="C25">
        <v>5</v>
      </c>
      <c r="D25">
        <v>220</v>
      </c>
      <c r="E25">
        <v>1100</v>
      </c>
      <c r="H25" t="s">
        <v>90</v>
      </c>
      <c r="I25">
        <f>MIN(C2:C25)</f>
        <v>1</v>
      </c>
      <c r="J25" t="str">
        <f t="shared" si="0"/>
        <v>IF CHEAP</v>
      </c>
    </row>
    <row r="26" spans="1:10" x14ac:dyDescent="0.25">
      <c r="A26">
        <v>2024</v>
      </c>
      <c r="B26" t="s">
        <v>72</v>
      </c>
      <c r="C26">
        <v>1</v>
      </c>
      <c r="D26">
        <v>55</v>
      </c>
      <c r="E26">
        <v>55</v>
      </c>
      <c r="H26" t="s">
        <v>91</v>
      </c>
      <c r="I26">
        <f>MIN(D2:D25)</f>
        <v>25</v>
      </c>
      <c r="J26" t="str">
        <f t="shared" si="0"/>
        <v>EXPENSIVE</v>
      </c>
    </row>
    <row r="27" spans="1:10" x14ac:dyDescent="0.25">
      <c r="A27">
        <v>2025</v>
      </c>
      <c r="B27" t="s">
        <v>73</v>
      </c>
      <c r="C27">
        <v>4</v>
      </c>
      <c r="D27">
        <v>90</v>
      </c>
      <c r="E27">
        <v>360</v>
      </c>
      <c r="H27" t="s">
        <v>92</v>
      </c>
      <c r="I27">
        <f>MAX(E2:E25)</f>
        <v>1600</v>
      </c>
      <c r="J27" t="str">
        <f t="shared" si="0"/>
        <v>IF CHEAP</v>
      </c>
    </row>
    <row r="28" spans="1:10" x14ac:dyDescent="0.25">
      <c r="A28">
        <f>COUNT(A1:A25)</f>
        <v>23</v>
      </c>
      <c r="C28">
        <f>SUM(C2:C25)</f>
        <v>61</v>
      </c>
      <c r="D28">
        <f>SUM(D2:D25)</f>
        <v>5295</v>
      </c>
      <c r="E28">
        <f>SUM(E2:E25)</f>
        <v>12765</v>
      </c>
      <c r="H28" t="s">
        <v>93</v>
      </c>
      <c r="I28">
        <f>MAX(C2:C25)</f>
        <v>5</v>
      </c>
      <c r="J28" t="str">
        <f t="shared" si="0"/>
        <v>IF CHEAP</v>
      </c>
    </row>
    <row r="29" spans="1:10" x14ac:dyDescent="0.25">
      <c r="H29" t="s">
        <v>94</v>
      </c>
      <c r="I29">
        <f>MAX(D2:D25)</f>
        <v>800</v>
      </c>
      <c r="J29" t="str">
        <f t="shared" si="0"/>
        <v>EXPENSIVE</v>
      </c>
    </row>
    <row r="30" spans="1:10" x14ac:dyDescent="0.25">
      <c r="H30" t="s">
        <v>96</v>
      </c>
      <c r="J30" t="str">
        <f t="shared" si="0"/>
        <v>IF CHEAP</v>
      </c>
    </row>
    <row r="32" spans="1:10" x14ac:dyDescent="0.25">
      <c r="I32" t="str">
        <f>IF(E2&gt;500,"PROFITABLE","NOT PROFITABLE")</f>
        <v>PROFITABLE</v>
      </c>
    </row>
    <row r="33" spans="9:9" x14ac:dyDescent="0.25">
      <c r="I33" t="str">
        <f>IF(C2&lt;3,"TRUE","NOT TRUE")</f>
        <v>NOT TRUE</v>
      </c>
    </row>
  </sheetData>
  <mergeCells count="1">
    <mergeCell ref="A1:J1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H16" sqref="H16"/>
    </sheetView>
  </sheetViews>
  <sheetFormatPr defaultRowHeight="15" x14ac:dyDescent="0.25"/>
  <cols>
    <col min="2" max="2" width="10.7109375" customWidth="1"/>
    <col min="8" max="8" width="42" customWidth="1"/>
  </cols>
  <sheetData>
    <row r="1" spans="1:9" x14ac:dyDescent="0.25">
      <c r="A1" t="s">
        <v>65</v>
      </c>
      <c r="B1" t="s">
        <v>97</v>
      </c>
      <c r="C1" t="s">
        <v>98</v>
      </c>
      <c r="D1" t="s">
        <v>66</v>
      </c>
      <c r="E1" t="s">
        <v>99</v>
      </c>
    </row>
    <row r="2" spans="1:9" x14ac:dyDescent="0.25">
      <c r="A2" t="s">
        <v>48</v>
      </c>
      <c r="B2" t="s">
        <v>48</v>
      </c>
      <c r="C2">
        <v>100</v>
      </c>
      <c r="D2">
        <v>5</v>
      </c>
      <c r="E2">
        <v>20</v>
      </c>
    </row>
    <row r="3" spans="1:9" x14ac:dyDescent="0.25">
      <c r="A3" t="s">
        <v>50</v>
      </c>
      <c r="B3" t="s">
        <v>50</v>
      </c>
      <c r="C3">
        <v>200</v>
      </c>
      <c r="D3">
        <v>10</v>
      </c>
      <c r="E3">
        <v>20</v>
      </c>
      <c r="H3" t="s">
        <v>100</v>
      </c>
    </row>
    <row r="4" spans="1:9" x14ac:dyDescent="0.25">
      <c r="A4" t="s">
        <v>52</v>
      </c>
      <c r="B4" t="s">
        <v>48</v>
      </c>
      <c r="C4">
        <v>150</v>
      </c>
      <c r="D4">
        <v>7</v>
      </c>
      <c r="E4">
        <v>21</v>
      </c>
      <c r="H4" t="s">
        <v>101</v>
      </c>
      <c r="I4">
        <f>SUMIF(B2:B11,"B",D2:D11)</f>
        <v>100</v>
      </c>
    </row>
    <row r="5" spans="1:9" x14ac:dyDescent="0.25">
      <c r="A5" t="s">
        <v>48</v>
      </c>
      <c r="B5" t="s">
        <v>50</v>
      </c>
      <c r="C5">
        <v>300</v>
      </c>
      <c r="D5">
        <v>15</v>
      </c>
      <c r="E5">
        <v>20</v>
      </c>
      <c r="H5" t="s">
        <v>102</v>
      </c>
      <c r="I5">
        <f>SUMIF(B2:B11,D2:D11)</f>
        <v>0</v>
      </c>
    </row>
    <row r="6" spans="1:9" x14ac:dyDescent="0.25">
      <c r="A6" t="s">
        <v>50</v>
      </c>
      <c r="B6" t="s">
        <v>48</v>
      </c>
      <c r="C6">
        <v>250</v>
      </c>
      <c r="D6">
        <v>12</v>
      </c>
      <c r="E6">
        <v>21</v>
      </c>
      <c r="H6" t="s">
        <v>103</v>
      </c>
      <c r="I6">
        <f>SUMIF(A2:A11,"A",C2:C11)</f>
        <v>1250</v>
      </c>
    </row>
    <row r="7" spans="1:9" x14ac:dyDescent="0.25">
      <c r="A7" t="s">
        <v>48</v>
      </c>
      <c r="B7" t="s">
        <v>50</v>
      </c>
      <c r="C7">
        <v>400</v>
      </c>
      <c r="D7">
        <v>20</v>
      </c>
      <c r="E7">
        <v>20</v>
      </c>
      <c r="H7" t="s">
        <v>104</v>
      </c>
      <c r="I7">
        <f>SUMIF(B2:B11,"B",C2:C11)</f>
        <v>2000</v>
      </c>
    </row>
    <row r="8" spans="1:9" x14ac:dyDescent="0.25">
      <c r="A8" t="s">
        <v>52</v>
      </c>
      <c r="B8" t="s">
        <v>48</v>
      </c>
      <c r="C8">
        <v>350</v>
      </c>
      <c r="D8">
        <v>17</v>
      </c>
      <c r="E8">
        <v>21</v>
      </c>
      <c r="H8" t="s">
        <v>105</v>
      </c>
      <c r="I8">
        <f>SUMIF(A2:A11,"C",C2:C11)</f>
        <v>500</v>
      </c>
    </row>
    <row r="9" spans="1:9" x14ac:dyDescent="0.25">
      <c r="A9" t="s">
        <v>50</v>
      </c>
      <c r="B9" t="s">
        <v>50</v>
      </c>
      <c r="C9">
        <v>500</v>
      </c>
      <c r="D9">
        <v>25</v>
      </c>
      <c r="E9">
        <v>20</v>
      </c>
      <c r="H9" t="s">
        <v>106</v>
      </c>
    </row>
    <row r="10" spans="1:9" x14ac:dyDescent="0.25">
      <c r="A10" t="s">
        <v>48</v>
      </c>
      <c r="B10" t="s">
        <v>48</v>
      </c>
      <c r="C10">
        <v>450</v>
      </c>
      <c r="D10">
        <v>22</v>
      </c>
      <c r="E10">
        <v>21</v>
      </c>
      <c r="H10" t="s">
        <v>107</v>
      </c>
      <c r="I10">
        <f>COUNTIF(E2:E11,"&gt;20")</f>
        <v>4</v>
      </c>
    </row>
    <row r="11" spans="1:9" x14ac:dyDescent="0.25">
      <c r="A11" t="s">
        <v>50</v>
      </c>
      <c r="B11" t="s">
        <v>50</v>
      </c>
      <c r="C11">
        <v>600</v>
      </c>
      <c r="D11">
        <v>30</v>
      </c>
      <c r="E11">
        <v>20</v>
      </c>
      <c r="H11" t="s">
        <v>108</v>
      </c>
      <c r="I11">
        <f>COUNTIF(C2:C11,"&gt;200")</f>
        <v>7</v>
      </c>
    </row>
    <row r="12" spans="1:9" x14ac:dyDescent="0.25">
      <c r="H12" t="s">
        <v>109</v>
      </c>
      <c r="I12">
        <f>COUNTIF(D2:D11,"&gt;10")</f>
        <v>7</v>
      </c>
    </row>
    <row r="13" spans="1:9" x14ac:dyDescent="0.25">
      <c r="H13" t="s">
        <v>110</v>
      </c>
      <c r="I13">
        <f>COUNTIF(D2:D11,"&lt;20")</f>
        <v>6</v>
      </c>
    </row>
    <row r="14" spans="1:9" x14ac:dyDescent="0.25">
      <c r="H14" t="s">
        <v>111</v>
      </c>
      <c r="I14">
        <f>COUNTIF(C2:C11,"&lt;200")</f>
        <v>2</v>
      </c>
    </row>
    <row r="15" spans="1:9" x14ac:dyDescent="0.25">
      <c r="H15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ADDTION</vt:lpstr>
      <vt:lpstr>ARITHMETIC</vt:lpstr>
      <vt:lpstr>sum</vt:lpstr>
      <vt:lpstr>Sheet2</vt:lpstr>
      <vt:lpstr>Sheet4</vt:lpstr>
      <vt:lpstr>Sheet3</vt:lpstr>
      <vt:lpstr>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2025-02-03T08:26:28Z</dcterms:created>
  <dcterms:modified xsi:type="dcterms:W3CDTF">2025-02-10T08:32:01Z</dcterms:modified>
</cp:coreProperties>
</file>